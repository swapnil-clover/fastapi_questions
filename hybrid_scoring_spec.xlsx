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ring Match" sheetId="1" state="visible" r:id="rId3"/>
    <sheet name="Bench Deployment" sheetId="2" state="visible" r:id="rId4"/>
    <sheet name="Implementation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<sst xmlns="http://schemas.openxmlformats.org/spreadsheetml/2006/main" count="107" uniqueCount="85">
  <si>
    <t xml:space="preserve">Smart Hiring Match — Scoring Parameters</t>
  </si>
  <si>
    <t xml:space="preserve">Hybrid model: deterministic weighted score (rules + embeddings) in application code. Claude called only for narrative on shortlisted results.</t>
  </si>
  <si>
    <t xml:space="preserve">#</t>
  </si>
  <si>
    <t xml:space="preserve">Parameter</t>
  </si>
  <si>
    <t xml:space="preserve">Weight</t>
  </si>
  <si>
    <t xml:space="preserve">Computation Method</t>
  </si>
  <si>
    <t xml:space="preserve">Data Fields Required</t>
  </si>
  <si>
    <t xml:space="preserve">Formula / Implementation Notes</t>
  </si>
  <si>
    <t xml:space="preserve">Technical/hard skill match</t>
  </si>
  <si>
    <t xml:space="preserve">Embedding + taxonomy</t>
  </si>
  <si>
    <t xml:space="preserve">jd.required_skills[], candidate.skills[]</t>
  </si>
  <si>
    <t xml:space="preserve">For each JD skill, find best cosine-similarity match in candidate skills (Voyage / sentence-transformers). score = mean(best_match_similarity per JD skill). Exact string match = 1.0.</t>
  </si>
  <si>
    <t xml:space="preserve">Years of relevant experience</t>
  </si>
  <si>
    <t xml:space="preserve">Rule-based</t>
  </si>
  <si>
    <t xml:space="preserve">jd.min_years, jd.max_years, candidate.total_years_experience, candidate.relevant_years</t>
  </si>
  <si>
    <t xml:space="preserve">score = MIN(1, candidate.relevant_years / jd.min_years); cap at 1.0. Flag if candidate.relevant_years &gt; jd.max_years * 1.5 (overqualified).</t>
  </si>
  <si>
    <t xml:space="preserve">Must-have requirements met</t>
  </si>
  <si>
    <t xml:space="preserve">Rule-based checklist</t>
  </si>
  <si>
    <t xml:space="preserve">jd.must_have_requirements[], candidate.parsed_json</t>
  </si>
  <si>
    <t xml:space="preserve">Binary match per requirement via keyword/taxonomy lookup. score = matched_count / total_must_haves. IF score &lt; 0.6, CAP final_score at 40 regardless of other parameters.</t>
  </si>
  <si>
    <t xml:space="preserve">Domain/industry experience</t>
  </si>
  <si>
    <t xml:space="preserve">Rule-based taxonomy</t>
  </si>
  <si>
    <t xml:space="preserve">jd.industry_tag, candidate.employer_industries[]</t>
  </si>
  <si>
    <t xml:space="preserve">score = 1.0 if exact industry match, 0.5 if adjacent industry (lookup table), else 0.0.</t>
  </si>
  <si>
    <t xml:space="preserve">Role seniority/trajectory fit</t>
  </si>
  <si>
    <t xml:space="preserve">jd.target_level, candidate.current_level</t>
  </si>
  <si>
    <t xml:space="preserve">Map titles to numeric level scale (IC1-IC6, M1-M4) via lookup table. score = 1 - MIN(1, ABS(target_level - candidate_level) / 2).</t>
  </si>
  <si>
    <t xml:space="preserve">Nice-to-have skills</t>
  </si>
  <si>
    <t xml:space="preserve">jd.nice_to_have_skills[], candidate.skills[]</t>
  </si>
  <si>
    <t xml:space="preserve">Same method as parameter 1, applied to the optional skill list.</t>
  </si>
  <si>
    <t xml:space="preserve">Education/certifications</t>
  </si>
  <si>
    <t xml:space="preserve">jd.required_education[], candidate.education[], candidate.certifications[]</t>
  </si>
  <si>
    <t xml:space="preserve">score = 1.0 if requirement met, 0.0 if not. Skip parameter (renormalize remaining weights) if JD specifies no requirement.</t>
  </si>
  <si>
    <t xml:space="preserve">Career stability signal</t>
  </si>
  <si>
    <t xml:space="preserve">candidate.employment_history[] (dates)</t>
  </si>
  <si>
    <t xml:space="preserve">avg_tenure_months = MEAN(job durations). score = MIN(1, avg_tenure_months / 18). Soft signal only, never zero out entirely.</t>
  </si>
  <si>
    <t xml:space="preserve">Logistics fit (PASS/FAIL GATE)</t>
  </si>
  <si>
    <t xml:space="preserve">Gate</t>
  </si>
  <si>
    <t xml:space="preserve">Rule-based hard filter</t>
  </si>
  <si>
    <t xml:space="preserve">jd.location, jd.work_auth_required, jd.comp_band, candidate.location, candidate.work_auth, candidate.salary_expectation</t>
  </si>
  <si>
    <t xml:space="preserve">Applied BEFORE scoring, not weighted. If any gate fails, exclude from ranked results or flag as 'logistics mismatch' rather than silently dropping.</t>
  </si>
  <si>
    <t xml:space="preserve">Total (scored parameters)</t>
  </si>
  <si>
    <t xml:space="preserve">Post-scoring step:</t>
  </si>
  <si>
    <t xml:space="preserve">For the top N (e.g. top 15) by final_score, call Claude once each with JD + candidate profile, prompted to return matchedSkills[], gapSkills[], and a one-sentence recommendation — narrative only, using the pre-computed score as context.</t>
  </si>
  <si>
    <t xml:space="preserve">Bench Deployment — Scoring Parameters</t>
  </si>
  <si>
    <t xml:space="preserve">role.required_skills[], employee.skills[]</t>
  </si>
  <si>
    <t xml:space="preserve">Same method as Hiring Match parameter 1: cosine similarity per required skill, score = mean(best match).</t>
  </si>
  <si>
    <t xml:space="preserve">Domain/client experience</t>
  </si>
  <si>
    <t xml:space="preserve">role.client_industry, role.client_id, employee.past_engagements[]</t>
  </si>
  <si>
    <t xml:space="preserve">score = 1.0 if employee previously staffed on same client_id, 0.7 if same industry different client, 0.0 otherwise.</t>
  </si>
  <si>
    <t xml:space="preserve">Readiness / upskilling gap size</t>
  </si>
  <si>
    <t xml:space="preserve">Rule-based (derived from #1)</t>
  </si>
  <si>
    <t xml:space="preserve">Output of parameter 1 (unmatched required skills)</t>
  </si>
  <si>
    <t xml:space="preserve">gap_count = COUNT(required skills with similarity &lt; 0.6). score = MAX(0, 1 - gap_count/total_required_skills). Readiness label: &gt;=0.8 Ready now, 0.5-0.8 Minor upskilling, &lt;0.5 Significant upskilling.</t>
  </si>
  <si>
    <t xml:space="preserve">Bench duration (urgency)</t>
  </si>
  <si>
    <t xml:space="preserve">employee.bench_start_date</t>
  </si>
  <si>
    <t xml:space="preserve">bench_days = TODAY() - bench_start_date. score = MIN(1, bench_days/60). Use as tie-breaker; cap so it can't override a poor skill match.</t>
  </si>
  <si>
    <t xml:space="preserve">Availability date match</t>
  </si>
  <si>
    <t xml:space="preserve">employee.available_date, role.required_start_date</t>
  </si>
  <si>
    <t xml:space="preserve">score = 1.0 if available_date &lt;= required_start_date, else score = MAX(0, 1 - days_late/30).</t>
  </si>
  <si>
    <t xml:space="preserve">Billing rate vs. role budget</t>
  </si>
  <si>
    <t xml:space="preserve">employee.billing_rate, role.budget_min, role.budget_max</t>
  </si>
  <si>
    <t xml:space="preserve">score = 1.0 if rate within [budget_min, budget_max]; else score = MAX(0, 1 - overage/budget_max).</t>
  </si>
  <si>
    <t xml:space="preserve">Certification validity</t>
  </si>
  <si>
    <t xml:space="preserve">role.required_certs[], employee.certifications[] (with expiry dates)</t>
  </si>
  <si>
    <t xml:space="preserve">score = valid_cert_count / required_cert_count. Present-but-expired cert counts as not met.</t>
  </si>
  <si>
    <t xml:space="preserve">Past performance / engagement feedback</t>
  </si>
  <si>
    <t xml:space="preserve">Rule-based (numeric)</t>
  </si>
  <si>
    <t xml:space="preserve">employee.avg_engagement_rating (1-5 scale)</t>
  </si>
  <si>
    <t xml:space="preserve">score = (avg_rating - 1) / 4 to normalize 1-5 scale to 0-1. Skip (renormalize) if no rating history exists.</t>
  </si>
  <si>
    <t xml:space="preserve">Location/onsite requirement (PASS/FAIL GATE)</t>
  </si>
  <si>
    <t xml:space="preserve">role.onsite_requirement, employee.location, employee.travel_availability</t>
  </si>
  <si>
    <t xml:space="preserve">Applied BEFORE scoring, same pattern as Hiring Match logistics gate.</t>
  </si>
  <si>
    <t xml:space="preserve">For the top N by final_score per role, call Claude once each with role + employee profile, prompted to return matchedSkills[], gapSkills[], and a one-sentence rampNote — narrative only, using the pre-computed readiness label as context.</t>
  </si>
  <si>
    <t xml:space="preserve">Shared Implementation Notes for the Dev Team</t>
  </si>
  <si>
    <t xml:space="preserve">Skill taxonomy</t>
  </si>
  <si>
    <t xml:space="preserve">The highest-leverage build item. Both parameter #1s (30% weight each) depend on a consistent skill vocabulary. Start with a manageable canonical list rather than covering every possible term on day one; expand as unmatched terms surface in production.</t>
  </si>
  <si>
    <t xml:space="preserve">Embeddings</t>
  </si>
  <si>
    <t xml:space="preserve">Computed once per resume/JD/profile/role, not per comparison. Store the vector alongside the record (pgvector column) and reuse it across every match calculation involving that record.</t>
  </si>
  <si>
    <t xml:space="preserve">Weight renormalization</t>
  </si>
  <si>
    <t xml:space="preserve">Whenever a parameter is skipped (e.g. no education requirement, no rating history), divide remaining weights by their sum so they still total 100%.</t>
  </si>
  <si>
    <t xml:space="preserve">Score logging</t>
  </si>
  <si>
    <t xml:space="preserve">Log every score's parameter breakdown, not just the final number. This is what makes the system auditable (compliance for Hiring Match, staffing-manager trust for Bench Deployment) and is needed if you later train a supervised model on top.</t>
  </si>
  <si>
    <t xml:space="preserve">LLM call volume</t>
  </si>
  <si>
    <t xml:space="preserve">Claude is called once per shortlisted result, not once per candidate/employee in the full pool. This is what keeps LLM cost and latency low compared to the original all-LLM prototype.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</si>
</sst>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32946"/>
      <name val="Arial"/>
      <family val="0"/>
      <charset val="1"/>
    </font>
    <font>
      <i val="true"/>
      <sz val="9"/>
      <color rgb="FF6B6E8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32946"/>
        <bgColor rgb="FF003366"/>
      </patternFill>
    </fill>
    <fill>
      <patternFill patternType="solid">
        <fgColor rgb="FFF5DFDB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DF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E8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9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5.05" hidden="false" customHeight="false" outlineLevel="0" collapsed="false">
      <c r="A5" s="4" t="n">
        <v>1</v>
      </c>
      <c r="B5" s="5" t="s">
        <v>8</v>
      </c>
      <c r="C5" s="6" t="n">
        <v>0.3</v>
      </c>
      <c r="D5" s="7" t="s">
        <v>9</v>
      </c>
      <c r="E5" s="7" t="s">
        <v>10</v>
      </c>
      <c r="F5" s="7" t="s">
        <v>11</v>
      </c>
    </row>
    <row r="6" customFormat="false" ht="35.05" hidden="false" customHeight="false" outlineLevel="0" collapsed="false">
      <c r="A6" s="4" t="n">
        <v>2</v>
      </c>
      <c r="B6" s="5" t="s">
        <v>12</v>
      </c>
      <c r="C6" s="6" t="n">
        <v>0.15</v>
      </c>
      <c r="D6" s="7" t="s">
        <v>13</v>
      </c>
      <c r="E6" s="7" t="s">
        <v>14</v>
      </c>
      <c r="F6" s="7" t="s">
        <v>15</v>
      </c>
    </row>
    <row r="7" customFormat="false" ht="35.05" hidden="false" customHeight="false" outlineLevel="0" collapsed="false">
      <c r="A7" s="4" t="n">
        <v>3</v>
      </c>
      <c r="B7" s="5" t="s">
        <v>16</v>
      </c>
      <c r="C7" s="6" t="n">
        <v>0.15</v>
      </c>
      <c r="D7" s="7" t="s">
        <v>17</v>
      </c>
      <c r="E7" s="7" t="s">
        <v>18</v>
      </c>
      <c r="F7" s="7" t="s">
        <v>19</v>
      </c>
    </row>
    <row r="8" customFormat="false" ht="23.85" hidden="false" customHeight="false" outlineLevel="0" collapsed="false">
      <c r="A8" s="4" t="n">
        <v>4</v>
      </c>
      <c r="B8" s="5" t="s">
        <v>20</v>
      </c>
      <c r="C8" s="6" t="n">
        <v>0.1</v>
      </c>
      <c r="D8" s="7" t="s">
        <v>21</v>
      </c>
      <c r="E8" s="7" t="s">
        <v>22</v>
      </c>
      <c r="F8" s="7" t="s">
        <v>23</v>
      </c>
    </row>
    <row r="9" customFormat="false" ht="23.85" hidden="false" customHeight="false" outlineLevel="0" collapsed="false">
      <c r="A9" s="4" t="n">
        <v>5</v>
      </c>
      <c r="B9" s="5" t="s">
        <v>24</v>
      </c>
      <c r="C9" s="6" t="n">
        <v>0.1</v>
      </c>
      <c r="D9" s="7" t="s">
        <v>13</v>
      </c>
      <c r="E9" s="7" t="s">
        <v>25</v>
      </c>
      <c r="F9" s="7" t="s">
        <v>26</v>
      </c>
    </row>
    <row r="10" customFormat="false" ht="15" hidden="false" customHeight="false" outlineLevel="0" collapsed="false">
      <c r="A10" s="4" t="n">
        <v>6</v>
      </c>
      <c r="B10" s="5" t="s">
        <v>27</v>
      </c>
      <c r="C10" s="6" t="n">
        <v>0.05</v>
      </c>
      <c r="D10" s="7" t="s">
        <v>9</v>
      </c>
      <c r="E10" s="7" t="s">
        <v>28</v>
      </c>
      <c r="F10" s="7" t="s">
        <v>29</v>
      </c>
    </row>
    <row r="11" customFormat="false" ht="35.05" hidden="false" customHeight="false" outlineLevel="0" collapsed="false">
      <c r="A11" s="4" t="n">
        <v>7</v>
      </c>
      <c r="B11" s="5" t="s">
        <v>30</v>
      </c>
      <c r="C11" s="6" t="n">
        <v>0.05</v>
      </c>
      <c r="D11" s="7" t="s">
        <v>13</v>
      </c>
      <c r="E11" s="7" t="s">
        <v>31</v>
      </c>
      <c r="F11" s="7" t="s">
        <v>32</v>
      </c>
    </row>
    <row r="12" customFormat="false" ht="23.85" hidden="false" customHeight="false" outlineLevel="0" collapsed="false">
      <c r="A12" s="4" t="n">
        <v>8</v>
      </c>
      <c r="B12" s="5" t="s">
        <v>33</v>
      </c>
      <c r="C12" s="6" t="n">
        <v>0.05</v>
      </c>
      <c r="D12" s="7" t="s">
        <v>13</v>
      </c>
      <c r="E12" s="7" t="s">
        <v>34</v>
      </c>
      <c r="F12" s="7" t="s">
        <v>35</v>
      </c>
    </row>
    <row r="13" customFormat="false" ht="46.25" hidden="false" customHeight="false" outlineLevel="0" collapsed="false">
      <c r="A13" s="8" t="n">
        <v>9</v>
      </c>
      <c r="B13" s="9" t="s">
        <v>36</v>
      </c>
      <c r="C13" s="8" t="s">
        <v>37</v>
      </c>
      <c r="D13" s="10" t="s">
        <v>38</v>
      </c>
      <c r="E13" s="10" t="s">
        <v>39</v>
      </c>
      <c r="F13" s="10" t="s">
        <v>40</v>
      </c>
    </row>
    <row r="14" customFormat="false" ht="15" hidden="false" customHeight="false" outlineLevel="0" collapsed="false">
      <c r="A14" s="11"/>
      <c r="B14" s="12" t="s">
        <v>41</v>
      </c>
      <c r="C14" s="13" t="n">
        <f aca="false">C5+C6+C7+C8+C9+C10+C11+C12</f>
        <v>0.95</v>
      </c>
      <c r="D14" s="11"/>
      <c r="E14" s="11"/>
      <c r="F14" s="11"/>
    </row>
    <row r="17" customFormat="false" ht="39.75" hidden="false" customHeight="true" outlineLevel="0" collapsed="false">
      <c r="A17" s="14" t="s">
        <v>42</v>
      </c>
      <c r="B17" s="15" t="s">
        <v>43</v>
      </c>
      <c r="C17" s="15"/>
      <c r="D17" s="15"/>
      <c r="E17" s="15"/>
      <c r="F17" s="15"/>
    </row>
  </sheetData>
  <mergeCells count="3">
    <mergeCell ref="A1:F1"/>
    <mergeCell ref="A2:F2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44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n">
        <v>1</v>
      </c>
      <c r="B5" s="5" t="s">
        <v>8</v>
      </c>
      <c r="C5" s="6" t="n">
        <v>0.3</v>
      </c>
      <c r="D5" s="7" t="s">
        <v>9</v>
      </c>
      <c r="E5" s="7" t="s">
        <v>45</v>
      </c>
      <c r="F5" s="7" t="s">
        <v>46</v>
      </c>
    </row>
    <row r="6" customFormat="false" ht="23.85" hidden="false" customHeight="false" outlineLevel="0" collapsed="false">
      <c r="A6" s="4" t="n">
        <v>2</v>
      </c>
      <c r="B6" s="5" t="s">
        <v>47</v>
      </c>
      <c r="C6" s="6" t="n">
        <v>0.15</v>
      </c>
      <c r="D6" s="7" t="s">
        <v>13</v>
      </c>
      <c r="E6" s="7" t="s">
        <v>48</v>
      </c>
      <c r="F6" s="7" t="s">
        <v>49</v>
      </c>
    </row>
    <row r="7" customFormat="false" ht="35.05" hidden="false" customHeight="false" outlineLevel="0" collapsed="false">
      <c r="A7" s="4" t="n">
        <v>3</v>
      </c>
      <c r="B7" s="5" t="s">
        <v>50</v>
      </c>
      <c r="C7" s="6" t="n">
        <v>0.15</v>
      </c>
      <c r="D7" s="7" t="s">
        <v>51</v>
      </c>
      <c r="E7" s="7" t="s">
        <v>52</v>
      </c>
      <c r="F7" s="7" t="s">
        <v>53</v>
      </c>
    </row>
    <row r="8" customFormat="false" ht="35.05" hidden="false" customHeight="false" outlineLevel="0" collapsed="false">
      <c r="A8" s="4" t="n">
        <v>4</v>
      </c>
      <c r="B8" s="5" t="s">
        <v>54</v>
      </c>
      <c r="C8" s="6" t="n">
        <v>0.1</v>
      </c>
      <c r="D8" s="7" t="s">
        <v>13</v>
      </c>
      <c r="E8" s="7" t="s">
        <v>55</v>
      </c>
      <c r="F8" s="7" t="s">
        <v>56</v>
      </c>
    </row>
    <row r="9" customFormat="false" ht="23.85" hidden="false" customHeight="false" outlineLevel="0" collapsed="false">
      <c r="A9" s="4" t="n">
        <v>5</v>
      </c>
      <c r="B9" s="5" t="s">
        <v>57</v>
      </c>
      <c r="C9" s="6" t="n">
        <v>0.1</v>
      </c>
      <c r="D9" s="7" t="s">
        <v>13</v>
      </c>
      <c r="E9" s="7" t="s">
        <v>58</v>
      </c>
      <c r="F9" s="7" t="s">
        <v>59</v>
      </c>
    </row>
    <row r="10" customFormat="false" ht="23.85" hidden="false" customHeight="false" outlineLevel="0" collapsed="false">
      <c r="A10" s="4" t="n">
        <v>6</v>
      </c>
      <c r="B10" s="5" t="s">
        <v>60</v>
      </c>
      <c r="C10" s="6" t="n">
        <v>0.1</v>
      </c>
      <c r="D10" s="7" t="s">
        <v>13</v>
      </c>
      <c r="E10" s="7" t="s">
        <v>61</v>
      </c>
      <c r="F10" s="7" t="s">
        <v>62</v>
      </c>
    </row>
    <row r="11" customFormat="false" ht="35.05" hidden="false" customHeight="false" outlineLevel="0" collapsed="false">
      <c r="A11" s="4" t="n">
        <v>7</v>
      </c>
      <c r="B11" s="5" t="s">
        <v>63</v>
      </c>
      <c r="C11" s="6" t="n">
        <v>0.05</v>
      </c>
      <c r="D11" s="7" t="s">
        <v>13</v>
      </c>
      <c r="E11" s="7" t="s">
        <v>64</v>
      </c>
      <c r="F11" s="7" t="s">
        <v>65</v>
      </c>
    </row>
    <row r="12" customFormat="false" ht="23.85" hidden="false" customHeight="false" outlineLevel="0" collapsed="false">
      <c r="A12" s="4" t="n">
        <v>8</v>
      </c>
      <c r="B12" s="5" t="s">
        <v>66</v>
      </c>
      <c r="C12" s="6" t="n">
        <v>0.05</v>
      </c>
      <c r="D12" s="7" t="s">
        <v>67</v>
      </c>
      <c r="E12" s="7" t="s">
        <v>68</v>
      </c>
      <c r="F12" s="7" t="s">
        <v>69</v>
      </c>
    </row>
    <row r="13" customFormat="false" ht="35.05" hidden="false" customHeight="false" outlineLevel="0" collapsed="false">
      <c r="A13" s="8" t="n">
        <v>9</v>
      </c>
      <c r="B13" s="9" t="s">
        <v>70</v>
      </c>
      <c r="C13" s="8" t="s">
        <v>37</v>
      </c>
      <c r="D13" s="10" t="s">
        <v>38</v>
      </c>
      <c r="E13" s="10" t="s">
        <v>71</v>
      </c>
      <c r="F13" s="10" t="s">
        <v>72</v>
      </c>
    </row>
    <row r="14" customFormat="false" ht="15" hidden="false" customHeight="false" outlineLevel="0" collapsed="false">
      <c r="A14" s="11"/>
      <c r="B14" s="12" t="s">
        <v>41</v>
      </c>
      <c r="C14" s="13" t="n">
        <f aca="false">C5+C6+C7+C8+C9+C10+C11+C12</f>
        <v>1</v>
      </c>
      <c r="D14" s="11"/>
      <c r="E14" s="11"/>
      <c r="F14" s="11"/>
    </row>
    <row r="17" customFormat="false" ht="39.75" hidden="false" customHeight="true" outlineLevel="0" collapsed="false">
      <c r="A17" s="14" t="s">
        <v>42</v>
      </c>
      <c r="B17" s="15" t="s">
        <v>73</v>
      </c>
      <c r="C17" s="15"/>
      <c r="D17" s="15"/>
      <c r="E17" s="15"/>
      <c r="F17" s="15"/>
    </row>
  </sheetData>
  <mergeCells count="3">
    <mergeCell ref="A1:F1"/>
    <mergeCell ref="A2:F2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74</v>
      </c>
      <c r="B1" s="1"/>
    </row>
    <row r="3" customFormat="false" ht="45" hidden="false" customHeight="true" outlineLevel="0" collapsed="false">
      <c r="A3" s="5" t="s">
        <v>75</v>
      </c>
      <c r="B3" s="7" t="s">
        <v>76</v>
      </c>
    </row>
    <row r="4" customFormat="false" ht="45" hidden="false" customHeight="true" outlineLevel="0" collapsed="false">
      <c r="A4" s="5" t="s">
        <v>77</v>
      </c>
      <c r="B4" s="7" t="s">
        <v>78</v>
      </c>
    </row>
    <row r="5" customFormat="false" ht="45" hidden="false" customHeight="true" outlineLevel="0" collapsed="false">
      <c r="A5" s="5" t="s">
        <v>79</v>
      </c>
      <c r="B5" s="7" t="s">
        <v>80</v>
      </c>
    </row>
    <row r="6" customFormat="false" ht="45" hidden="false" customHeight="true" outlineLevel="0" collapsed="false">
      <c r="A6" s="5" t="s">
        <v>81</v>
      </c>
      <c r="B6" s="7" t="s">
        <v>82</v>
      </c>
    </row>
    <row r="7" customFormat="false" ht="45" hidden="false" customHeight="true" outlineLevel="0" collapsed="false">
      <c r="A7" s="5" t="s">
        <v>83</v>
      </c>
      <c r="B7" s="7" t="s">
        <v>84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2026-08-11T15:59:39Z</dcterms:created>
  <dc:creator>openpyxl</dc:creator>
  <dc:description/>
  <dc:language>en-US</dc:language>
  <cp:lastModifiedBy/>
  <dcterms:modified xsi:type="dcterms:W3CDTF">2026-08-11T15:59:39Z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